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elopment Plan" sheetId="1" state="visible" r:id="rId3"/>
  </sheets>
  <definedNames>
    <definedName function="false" hidden="true" localSheetId="0" name="_xlnm._FilterDatabase" vbProcedure="false">'Development Plan'!$A$1:$R$35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<sst xmlns="http://schemas.openxmlformats.org/spreadsheetml/2006/main" count="256" uniqueCount="142">
  <si>
    <t xml:space="preserve">ID</t>
  </si>
  <si>
    <t xml:space="preserve">Module</t>
  </si>
  <si>
    <t xml:space="preserve">Task</t>
  </si>
  <si>
    <t xml:space="preserve">Spec ref</t>
  </si>
  <si>
    <t xml:space="preserve">Owner</t>
  </si>
  <si>
    <t xml:space="preserve">Priority</t>
  </si>
  <si>
    <t xml:space="preserve">Start</t>
  </si>
  <si>
    <t xml:space="preserve">End</t>
  </si>
  <si>
    <t xml:space="preserve">Weeks</t>
  </si>
  <si>
    <t xml:space="preserve">Status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</si>
  <si>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</si>
  <si>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</si>
  <si>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</si>
  <si>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</si>
  <si>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</si>
  <si>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</si>
  <si>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</si>
  <si>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</si>
  <si>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T01</t>
  </si>
  <si>
    <t xml:space="preserve">Planning</t>
  </si>
  <si>
    <t xml:space="preserve">Analyze instructor requirements; confirm scope without gamification</t>
  </si>
  <si>
    <t xml:space="preserve">Sec. I–II</t>
  </si>
  <si>
    <t xml:space="preserve">Hiếu</t>
  </si>
  <si>
    <t xml:space="preserve">Must</t>
  </si>
  <si>
    <t xml:space="preserve">Done</t>
  </si>
  <si>
    <t xml:space="preserve">T02</t>
  </si>
  <si>
    <t xml:space="preserve">Write functional specification</t>
  </si>
  <si>
    <t xml:space="preserve">Sec. I–IX</t>
  </si>
  <si>
    <t xml:space="preserve">T03</t>
  </si>
  <si>
    <t xml:space="preserve">Design</t>
  </si>
  <si>
    <t xml:space="preserve">UI design – User version (Figma)</t>
  </si>
  <si>
    <t xml:space="preserve">Sec. VII</t>
  </si>
  <si>
    <t xml:space="preserve">Hải</t>
  </si>
  <si>
    <t xml:space="preserve">T04</t>
  </si>
  <si>
    <t xml:space="preserve">UI design – Admin version (Figma)</t>
  </si>
  <si>
    <t xml:space="preserve">T05</t>
  </si>
  <si>
    <t xml:space="preserve">Database</t>
  </si>
  <si>
    <t xml:space="preserve">ERD and schema design</t>
  </si>
  <si>
    <t xml:space="preserve">Sec. V</t>
  </si>
  <si>
    <t xml:space="preserve">Thiện</t>
  </si>
  <si>
    <t xml:space="preserve">T06</t>
  </si>
  <si>
    <t xml:space="preserve">Setup</t>
  </si>
  <si>
    <t xml:space="preserve">Repos, environments, project structure, Git workflow</t>
  </si>
  <si>
    <t xml:space="preserve">NFR-06</t>
  </si>
  <si>
    <t xml:space="preserve">In progress</t>
  </si>
  <si>
    <t xml:space="preserve">T07</t>
  </si>
  <si>
    <t xml:space="preserve">Migrations and seed data (roles, admin, sample users and posts)</t>
  </si>
  <si>
    <t xml:space="preserve">T08</t>
  </si>
  <si>
    <t xml:space="preserve">Back-end</t>
  </si>
  <si>
    <t xml:space="preserve">API conventions, validation, error handling, Swagger/Postman</t>
  </si>
  <si>
    <t xml:space="preserve">Sec. VI</t>
  </si>
  <si>
    <t xml:space="preserve">T09</t>
  </si>
  <si>
    <t xml:space="preserve">Front-end</t>
  </si>
  <si>
    <t xml:space="preserve">App scaffold: routing, layout, shared components, API client</t>
  </si>
  <si>
    <t xml:space="preserve">Sec. 7.3</t>
  </si>
  <si>
    <t xml:space="preserve">T10</t>
  </si>
  <si>
    <t xml:space="preserve">Auth</t>
  </si>
  <si>
    <t xml:space="preserve">Register, login, logout API with JWT and role guard</t>
  </si>
  <si>
    <t xml:space="preserve">FR-AUTH-01–05</t>
  </si>
  <si>
    <t xml:space="preserve">T11</t>
  </si>
  <si>
    <t xml:space="preserve">Register and login screens, protected routes</t>
  </si>
  <si>
    <t xml:space="preserve">FR-AUTH-01–04</t>
  </si>
  <si>
    <t xml:space="preserve">Not started</t>
  </si>
  <si>
    <t xml:space="preserve">T12</t>
  </si>
  <si>
    <t xml:space="preserve">Profile</t>
  </si>
  <si>
    <t xml:space="preserve">Profile API: view, edit info, avatar and cover upload</t>
  </si>
  <si>
    <t xml:space="preserve">FR-PROF-01–03</t>
  </si>
  <si>
    <t xml:space="preserve">T13</t>
  </si>
  <si>
    <t xml:space="preserve">Profile page and edit form; people search</t>
  </si>
  <si>
    <t xml:space="preserve">FR-PROF-01–05</t>
  </si>
  <si>
    <t xml:space="preserve">T14</t>
  </si>
  <si>
    <t xml:space="preserve">Posts</t>
  </si>
  <si>
    <t xml:space="preserve">Post API and image upload (create, view, delete)</t>
  </si>
  <si>
    <t xml:space="preserve">FR-POST-01,04,05</t>
  </si>
  <si>
    <t xml:space="preserve">T15</t>
  </si>
  <si>
    <t xml:space="preserve">Post composer and post card UI</t>
  </si>
  <si>
    <t xml:space="preserve">T16</t>
  </si>
  <si>
    <t xml:space="preserve">Video upload and edit post</t>
  </si>
  <si>
    <t xml:space="preserve">FR-POST-02,03</t>
  </si>
  <si>
    <t xml:space="preserve">Should</t>
  </si>
  <si>
    <t xml:space="preserve">T17</t>
  </si>
  <si>
    <t xml:space="preserve">Newsfeed</t>
  </si>
  <si>
    <t xml:space="preserve">Newsfeed API with pagination</t>
  </si>
  <si>
    <t xml:space="preserve">FR-FEED-01,02</t>
  </si>
  <si>
    <t xml:space="preserve">T18</t>
  </si>
  <si>
    <t xml:space="preserve">Newsfeed UI: infinite scroll, empty state</t>
  </si>
  <si>
    <t xml:space="preserve">FR-FEED-01–04</t>
  </si>
  <si>
    <t xml:space="preserve">T19</t>
  </si>
  <si>
    <t xml:space="preserve">Interaction</t>
  </si>
  <si>
    <t xml:space="preserve">Like API and heart toggle UI</t>
  </si>
  <si>
    <t xml:space="preserve">FR-INT-01,02</t>
  </si>
  <si>
    <t xml:space="preserve">T20</t>
  </si>
  <si>
    <t xml:space="preserve">Comment API and UI (add, list, delete)</t>
  </si>
  <si>
    <t xml:space="preserve">FR-INT-03,04</t>
  </si>
  <si>
    <t xml:space="preserve">T21</t>
  </si>
  <si>
    <t xml:space="preserve">Friends</t>
  </si>
  <si>
    <t xml:space="preserve">Friend API: request, accept, decline, cancel, unfriend, lists</t>
  </si>
  <si>
    <t xml:space="preserve">FR-FRND-01–05</t>
  </si>
  <si>
    <t xml:space="preserve">T22</t>
  </si>
  <si>
    <t xml:space="preserve">Friend UI: requests, friend list, search, profile buttons</t>
  </si>
  <si>
    <t xml:space="preserve">T23</t>
  </si>
  <si>
    <t xml:space="preserve">Messaging</t>
  </si>
  <si>
    <t xml:space="preserve">Messaging API with Socket.IO: send, receive, history</t>
  </si>
  <si>
    <t xml:space="preserve">FR-MSG-01–03</t>
  </si>
  <si>
    <t xml:space="preserve">T24</t>
  </si>
  <si>
    <t xml:space="preserve">Chat UI: conversation list, window, unread badge</t>
  </si>
  <si>
    <t xml:space="preserve">FR-MSG-01–04</t>
  </si>
  <si>
    <t xml:space="preserve">T25</t>
  </si>
  <si>
    <t xml:space="preserve">Status API and UI: update, clear, display, online dot</t>
  </si>
  <si>
    <t xml:space="preserve">FR-STAT-01–04</t>
  </si>
  <si>
    <t xml:space="preserve">T26</t>
  </si>
  <si>
    <t xml:space="preserve">Admin</t>
  </si>
  <si>
    <t xml:space="preserve">Admin API: manage users and posts, delete</t>
  </si>
  <si>
    <t xml:space="preserve">FR-ADM-02,03,05,06</t>
  </si>
  <si>
    <t xml:space="preserve">T27</t>
  </si>
  <si>
    <t xml:space="preserve">Statistics API: users and posts</t>
  </si>
  <si>
    <t xml:space="preserve">FR-ADM-01,07,08</t>
  </si>
  <si>
    <t xml:space="preserve">T28</t>
  </si>
  <si>
    <t xml:space="preserve">Admin UI: dashboard, charts, management tables</t>
  </si>
  <si>
    <t xml:space="preserve">FR-ADM-01–08</t>
  </si>
  <si>
    <t xml:space="preserve">T29</t>
  </si>
  <si>
    <t xml:space="preserve">Extras</t>
  </si>
  <si>
    <t xml:space="preserve">Could items: notifications, replies, suggestions, visibility</t>
  </si>
  <si>
    <t xml:space="preserve">Could items</t>
  </si>
  <si>
    <t xml:space="preserve">Could</t>
  </si>
  <si>
    <t xml:space="preserve">T30</t>
  </si>
  <si>
    <t xml:space="preserve">QA</t>
  </si>
  <si>
    <t xml:space="preserve">API tests and security review (permissions, XSS, uploads)</t>
  </si>
  <si>
    <t xml:space="preserve">NFR-02, BR-01–08</t>
  </si>
  <si>
    <t xml:space="preserve">T31</t>
  </si>
  <si>
    <t xml:space="preserve">Integration and UI testing, responsive check, bug fixing</t>
  </si>
  <si>
    <t xml:space="preserve">NFR-01, 03, 04</t>
  </si>
  <si>
    <t xml:space="preserve">T32</t>
  </si>
  <si>
    <t xml:space="preserve">Deploy</t>
  </si>
  <si>
    <t xml:space="preserve">Deploy app and database; load demo data</t>
  </si>
  <si>
    <t xml:space="preserve">NFR-05</t>
  </si>
  <si>
    <t xml:space="preserve">T33</t>
  </si>
  <si>
    <t xml:space="preserve">Delivery</t>
  </si>
  <si>
    <t xml:space="preserve">Report, API docs and user guide</t>
  </si>
  <si>
    <t xml:space="preserve">T34</t>
  </si>
  <si>
    <t xml:space="preserve">Demo rehearsal and submission</t>
  </si>
  <si>
    <t xml:space="preserve">All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</si>
</sst>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A0C16"/>
        <bgColor rgb="FF800000"/>
      </patternFill>
    </fill>
    <fill>
      <patternFill patternType="solid">
        <fgColor rgb="FFFBF3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B8BC"/>
      </left>
      <right style="thin">
        <color rgb="FFD9B8BC"/>
      </right>
      <top style="thin">
        <color rgb="FFD9B8BC"/>
      </top>
      <bottom style="thin">
        <color rgb="FFD9B8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7A0C16"/>
          <bgColor rgb="FF000000"/>
        </patternFill>
      </fill>
    </dxf>
    <dxf>
      <fill>
        <patternFill patternType="solid">
          <fgColor rgb="FFFBF3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C77700"/>
          <bgColor rgb="FF000000"/>
        </patternFill>
      </fill>
    </dxf>
    <dxf>
      <fill>
        <patternFill patternType="solid">
          <fgColor rgb="FFB77A80"/>
          <bgColor rgb="FF000000"/>
        </patternFill>
      </fill>
    </dxf>
    <dxf>
      <fill>
        <patternFill patternType="solid">
          <fgColor rgb="FFE3B5B9"/>
          <bgColor rgb="FF000000"/>
        </patternFill>
      </fill>
    </dxf>
    <dxf>
      <fill>
        <patternFill>
          <bgColor rgb="FFB77A80"/>
        </patternFill>
      </fill>
    </dxf>
    <dxf>
      <fill>
        <patternFill>
          <bgColor rgb="FFE3B5B9"/>
        </patternFill>
      </fill>
    </dxf>
    <dxf>
      <fill>
        <patternFill>
          <bgColor rgb="FF7A0C16"/>
        </patternFill>
      </fill>
    </dxf>
    <dxf>
      <font>
        <b val="1"/>
        <color rgb="FFFFFFFF"/>
      </font>
      <fill>
        <patternFill>
          <bgColor rgb="FF2E7D32"/>
        </patternFill>
      </fill>
    </dxf>
    <dxf>
      <font>
        <b val="1"/>
        <color rgb="FFFFFFFF"/>
      </font>
      <fill>
        <patternFill>
          <bgColor rgb="FFC777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0C16"/>
      <rgbColor rgb="FF008000"/>
      <rgbColor rgb="FF000080"/>
      <rgbColor rgb="FF808000"/>
      <rgbColor rgb="FF800080"/>
      <rgbColor rgb="FF008080"/>
      <rgbColor rgb="FFD9B8BC"/>
      <rgbColor rgb="FF808080"/>
      <rgbColor rgb="FF9999FF"/>
      <rgbColor rgb="FF993366"/>
      <rgbColor rgb="FFFBF3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3B5B9"/>
      <rgbColor rgb="FF3366FF"/>
      <rgbColor rgb="FF33CCCC"/>
      <rgbColor rgb="FF99CC00"/>
      <rgbColor rgb="FFFFCC00"/>
      <rgbColor rgb="FFFF9900"/>
      <rgbColor rgb="FFC77700"/>
      <rgbColor rgb="FF666699"/>
      <rgbColor rgb="FFB77A80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0C16"/>
    <pageSetUpPr fitToPage="true"/>
  </sheetPr>
  <dimension ref="A1:R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8"/>
    <col collapsed="false" customWidth="true" hidden="false" outlineLevel="0" max="6" min="5" style="0" width="9"/>
    <col collapsed="false" customWidth="true" hidden="false" outlineLevel="0" max="8" min="7" style="0" width="7"/>
    <col collapsed="false" customWidth="true" hidden="false" outlineLevel="0" max="9" min="9" style="0" width="8"/>
    <col collapsed="false" customWidth="true" hidden="false" outlineLevel="0" max="10" min="10" style="0" width="13"/>
    <col collapsed="false" customWidth="true" hidden="false" outlineLevel="0" max="18" min="11" style="0" width="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30" hidden="false" customHeight="true" outlineLevel="0" collapsed="false">
      <c r="A2" s="2" t="s">
        <v>18</v>
      </c>
      <c r="B2" s="3" t="s">
        <v>19</v>
      </c>
      <c r="C2" s="4" t="s">
        <v>20</v>
      </c>
      <c r="D2" s="4" t="s">
        <v>21</v>
      </c>
      <c r="E2" s="2" t="s">
        <v>22</v>
      </c>
      <c r="F2" s="2" t="s">
        <v>23</v>
      </c>
      <c r="G2" s="2" t="n">
        <v>1</v>
      </c>
      <c r="H2" s="2" t="n">
        <v>1</v>
      </c>
      <c r="I2" s="2" t="n">
        <f aca="false">H2-G2+1</f>
        <v>1</v>
      </c>
      <c r="J2" s="2" t="s">
        <v>24</v>
      </c>
      <c r="K2" s="2"/>
      <c r="L2" s="2"/>
      <c r="M2" s="2"/>
      <c r="N2" s="2"/>
      <c r="O2" s="2"/>
      <c r="P2" s="2"/>
      <c r="Q2" s="2"/>
      <c r="R2" s="2"/>
    </row>
    <row r="3" customFormat="false" ht="30" hidden="false" customHeight="true" outlineLevel="0" collapsed="false">
      <c r="A3" s="5" t="s">
        <v>25</v>
      </c>
      <c r="B3" s="6" t="s">
        <v>19</v>
      </c>
      <c r="C3" s="7" t="s">
        <v>26</v>
      </c>
      <c r="D3" s="7" t="s">
        <v>27</v>
      </c>
      <c r="E3" s="5" t="s">
        <v>22</v>
      </c>
      <c r="F3" s="5" t="s">
        <v>23</v>
      </c>
      <c r="G3" s="5" t="n">
        <v>1</v>
      </c>
      <c r="H3" s="5" t="n">
        <v>1</v>
      </c>
      <c r="I3" s="5" t="n">
        <f aca="false">H3-G3+1</f>
        <v>1</v>
      </c>
      <c r="J3" s="5" t="s">
        <v>24</v>
      </c>
      <c r="K3" s="2"/>
      <c r="L3" s="2"/>
      <c r="M3" s="2"/>
      <c r="N3" s="2"/>
      <c r="O3" s="2"/>
      <c r="P3" s="2"/>
      <c r="Q3" s="2"/>
      <c r="R3" s="2"/>
    </row>
    <row r="4" customFormat="false" ht="30" hidden="false" customHeight="true" outlineLevel="0" collapsed="false">
      <c r="A4" s="2" t="s">
        <v>28</v>
      </c>
      <c r="B4" s="3" t="s">
        <v>29</v>
      </c>
      <c r="C4" s="4" t="s">
        <v>30</v>
      </c>
      <c r="D4" s="4" t="s">
        <v>31</v>
      </c>
      <c r="E4" s="2" t="s">
        <v>32</v>
      </c>
      <c r="F4" s="2" t="s">
        <v>23</v>
      </c>
      <c r="G4" s="2" t="n">
        <v>1</v>
      </c>
      <c r="H4" s="2" t="n">
        <v>2</v>
      </c>
      <c r="I4" s="2" t="n">
        <f aca="false">H4-G4+1</f>
        <v>2</v>
      </c>
      <c r="J4" s="2" t="s">
        <v>24</v>
      </c>
      <c r="K4" s="2"/>
      <c r="L4" s="2"/>
      <c r="M4" s="2"/>
      <c r="N4" s="2"/>
      <c r="O4" s="2"/>
      <c r="P4" s="2"/>
      <c r="Q4" s="2"/>
      <c r="R4" s="2"/>
    </row>
    <row r="5" customFormat="false" ht="30" hidden="false" customHeight="true" outlineLevel="0" collapsed="false">
      <c r="A5" s="5" t="s">
        <v>33</v>
      </c>
      <c r="B5" s="6" t="s">
        <v>29</v>
      </c>
      <c r="C5" s="7" t="s">
        <v>34</v>
      </c>
      <c r="D5" s="7" t="s">
        <v>31</v>
      </c>
      <c r="E5" s="5" t="s">
        <v>32</v>
      </c>
      <c r="F5" s="5" t="s">
        <v>23</v>
      </c>
      <c r="G5" s="5" t="n">
        <v>1</v>
      </c>
      <c r="H5" s="5" t="n">
        <v>2</v>
      </c>
      <c r="I5" s="5" t="n">
        <f aca="false">H5-G5+1</f>
        <v>2</v>
      </c>
      <c r="J5" s="5" t="s">
        <v>24</v>
      </c>
      <c r="K5" s="2"/>
      <c r="L5" s="2"/>
      <c r="M5" s="2"/>
      <c r="N5" s="2"/>
      <c r="O5" s="2"/>
      <c r="P5" s="2"/>
      <c r="Q5" s="2"/>
      <c r="R5" s="2"/>
    </row>
    <row r="6" customFormat="false" ht="30" hidden="false" customHeight="true" outlineLevel="0" collapsed="false">
      <c r="A6" s="2" t="s">
        <v>35</v>
      </c>
      <c r="B6" s="3" t="s">
        <v>36</v>
      </c>
      <c r="C6" s="4" t="s">
        <v>37</v>
      </c>
      <c r="D6" s="4" t="s">
        <v>38</v>
      </c>
      <c r="E6" s="2" t="s">
        <v>39</v>
      </c>
      <c r="F6" s="2" t="s">
        <v>23</v>
      </c>
      <c r="G6" s="2" t="n">
        <v>1</v>
      </c>
      <c r="H6" s="2" t="n">
        <v>2</v>
      </c>
      <c r="I6" s="2" t="n">
        <f aca="false">H6-G6+1</f>
        <v>2</v>
      </c>
      <c r="J6" s="2" t="s">
        <v>24</v>
      </c>
      <c r="K6" s="2"/>
      <c r="L6" s="2"/>
      <c r="M6" s="2"/>
      <c r="N6" s="2"/>
      <c r="O6" s="2"/>
      <c r="P6" s="2"/>
      <c r="Q6" s="2"/>
      <c r="R6" s="2"/>
    </row>
    <row r="7" customFormat="false" ht="30" hidden="false" customHeight="true" outlineLevel="0" collapsed="false">
      <c r="A7" s="5" t="s">
        <v>40</v>
      </c>
      <c r="B7" s="6" t="s">
        <v>41</v>
      </c>
      <c r="C7" s="7" t="s">
        <v>42</v>
      </c>
      <c r="D7" s="7" t="s">
        <v>43</v>
      </c>
      <c r="E7" s="5" t="s">
        <v>39</v>
      </c>
      <c r="F7" s="5" t="s">
        <v>23</v>
      </c>
      <c r="G7" s="5" t="n">
        <v>1</v>
      </c>
      <c r="H7" s="5" t="n">
        <v>2</v>
      </c>
      <c r="I7" s="5" t="n">
        <f aca="false">H7-G7+1</f>
        <v>2</v>
      </c>
      <c r="J7" s="5" t="s">
        <v>44</v>
      </c>
      <c r="K7" s="2"/>
      <c r="L7" s="2"/>
      <c r="M7" s="2"/>
      <c r="N7" s="2"/>
      <c r="O7" s="2"/>
      <c r="P7" s="2"/>
      <c r="Q7" s="2"/>
      <c r="R7" s="2"/>
    </row>
    <row r="8" customFormat="false" ht="30" hidden="false" customHeight="true" outlineLevel="0" collapsed="false">
      <c r="A8" s="2" t="s">
        <v>45</v>
      </c>
      <c r="B8" s="3" t="s">
        <v>36</v>
      </c>
      <c r="C8" s="4" t="s">
        <v>46</v>
      </c>
      <c r="D8" s="4" t="s">
        <v>38</v>
      </c>
      <c r="E8" s="2" t="s">
        <v>39</v>
      </c>
      <c r="F8" s="2" t="s">
        <v>23</v>
      </c>
      <c r="G8" s="2" t="n">
        <v>2</v>
      </c>
      <c r="H8" s="2" t="n">
        <v>3</v>
      </c>
      <c r="I8" s="2" t="n">
        <f aca="false">H8-G8+1</f>
        <v>2</v>
      </c>
      <c r="J8" s="2" t="s">
        <v>44</v>
      </c>
      <c r="K8" s="2"/>
      <c r="L8" s="2"/>
      <c r="M8" s="2"/>
      <c r="N8" s="2"/>
      <c r="O8" s="2"/>
      <c r="P8" s="2"/>
      <c r="Q8" s="2"/>
      <c r="R8" s="2"/>
    </row>
    <row r="9" customFormat="false" ht="30" hidden="false" customHeight="true" outlineLevel="0" collapsed="false">
      <c r="A9" s="5" t="s">
        <v>47</v>
      </c>
      <c r="B9" s="6" t="s">
        <v>48</v>
      </c>
      <c r="C9" s="7" t="s">
        <v>49</v>
      </c>
      <c r="D9" s="7" t="s">
        <v>50</v>
      </c>
      <c r="E9" s="5" t="s">
        <v>39</v>
      </c>
      <c r="F9" s="5" t="s">
        <v>23</v>
      </c>
      <c r="G9" s="5" t="n">
        <v>2</v>
      </c>
      <c r="H9" s="5" t="n">
        <v>3</v>
      </c>
      <c r="I9" s="5" t="n">
        <f aca="false">H9-G9+1</f>
        <v>2</v>
      </c>
      <c r="J9" s="5" t="s">
        <v>44</v>
      </c>
      <c r="K9" s="2"/>
      <c r="L9" s="2"/>
      <c r="M9" s="2"/>
      <c r="N9" s="2"/>
      <c r="O9" s="2"/>
      <c r="P9" s="2"/>
      <c r="Q9" s="2"/>
      <c r="R9" s="2"/>
    </row>
    <row r="10" customFormat="false" ht="30" hidden="false" customHeight="true" outlineLevel="0" collapsed="false">
      <c r="A10" s="2" t="s">
        <v>51</v>
      </c>
      <c r="B10" s="3" t="s">
        <v>52</v>
      </c>
      <c r="C10" s="4" t="s">
        <v>53</v>
      </c>
      <c r="D10" s="4" t="s">
        <v>54</v>
      </c>
      <c r="E10" s="2" t="s">
        <v>32</v>
      </c>
      <c r="F10" s="2" t="s">
        <v>23</v>
      </c>
      <c r="G10" s="2" t="n">
        <v>2</v>
      </c>
      <c r="H10" s="2" t="n">
        <v>3</v>
      </c>
      <c r="I10" s="2" t="n">
        <f aca="false">H10-G10+1</f>
        <v>2</v>
      </c>
      <c r="J10" s="2" t="s">
        <v>44</v>
      </c>
      <c r="K10" s="2"/>
      <c r="L10" s="2"/>
      <c r="M10" s="2"/>
      <c r="N10" s="2"/>
      <c r="O10" s="2"/>
      <c r="P10" s="2"/>
      <c r="Q10" s="2"/>
      <c r="R10" s="2"/>
    </row>
    <row r="11" customFormat="false" ht="30" hidden="false" customHeight="true" outlineLevel="0" collapsed="false">
      <c r="A11" s="5" t="s">
        <v>55</v>
      </c>
      <c r="B11" s="6" t="s">
        <v>56</v>
      </c>
      <c r="C11" s="7" t="s">
        <v>57</v>
      </c>
      <c r="D11" s="7" t="s">
        <v>58</v>
      </c>
      <c r="E11" s="5" t="s">
        <v>39</v>
      </c>
      <c r="F11" s="5" t="s">
        <v>23</v>
      </c>
      <c r="G11" s="5" t="n">
        <v>2</v>
      </c>
      <c r="H11" s="5" t="n">
        <v>3</v>
      </c>
      <c r="I11" s="5" t="n">
        <f aca="false">H11-G11+1</f>
        <v>2</v>
      </c>
      <c r="J11" s="5" t="s">
        <v>44</v>
      </c>
      <c r="K11" s="2"/>
      <c r="L11" s="2"/>
      <c r="M11" s="2"/>
      <c r="N11" s="2"/>
      <c r="O11" s="2"/>
      <c r="P11" s="2"/>
      <c r="Q11" s="2"/>
      <c r="R11" s="2"/>
    </row>
    <row r="12" customFormat="false" ht="30" hidden="false" customHeight="true" outlineLevel="0" collapsed="false">
      <c r="A12" s="2" t="s">
        <v>59</v>
      </c>
      <c r="B12" s="3" t="s">
        <v>56</v>
      </c>
      <c r="C12" s="4" t="s">
        <v>60</v>
      </c>
      <c r="D12" s="4" t="s">
        <v>61</v>
      </c>
      <c r="E12" s="2" t="s">
        <v>32</v>
      </c>
      <c r="F12" s="2" t="s">
        <v>23</v>
      </c>
      <c r="G12" s="2" t="n">
        <v>3</v>
      </c>
      <c r="H12" s="2" t="n">
        <v>3</v>
      </c>
      <c r="I12" s="2" t="n">
        <f aca="false">H12-G12+1</f>
        <v>1</v>
      </c>
      <c r="J12" s="2" t="s">
        <v>62</v>
      </c>
      <c r="K12" s="2"/>
      <c r="L12" s="2"/>
      <c r="M12" s="2"/>
      <c r="N12" s="2"/>
      <c r="O12" s="2"/>
      <c r="P12" s="2"/>
      <c r="Q12" s="2"/>
      <c r="R12" s="2"/>
    </row>
    <row r="13" customFormat="false" ht="30" hidden="false" customHeight="true" outlineLevel="0" collapsed="false">
      <c r="A13" s="5" t="s">
        <v>63</v>
      </c>
      <c r="B13" s="6" t="s">
        <v>64</v>
      </c>
      <c r="C13" s="7" t="s">
        <v>65</v>
      </c>
      <c r="D13" s="7" t="s">
        <v>66</v>
      </c>
      <c r="E13" s="5" t="s">
        <v>39</v>
      </c>
      <c r="F13" s="5" t="s">
        <v>23</v>
      </c>
      <c r="G13" s="5" t="n">
        <v>3</v>
      </c>
      <c r="H13" s="5" t="n">
        <v>4</v>
      </c>
      <c r="I13" s="5" t="n">
        <f aca="false">H13-G13+1</f>
        <v>2</v>
      </c>
      <c r="J13" s="5" t="s">
        <v>62</v>
      </c>
      <c r="K13" s="2"/>
      <c r="L13" s="2"/>
      <c r="M13" s="2"/>
      <c r="N13" s="2"/>
      <c r="O13" s="2"/>
      <c r="P13" s="2"/>
      <c r="Q13" s="2"/>
      <c r="R13" s="2"/>
    </row>
    <row r="14" customFormat="false" ht="30" hidden="false" customHeight="true" outlineLevel="0" collapsed="false">
      <c r="A14" s="2" t="s">
        <v>67</v>
      </c>
      <c r="B14" s="3" t="s">
        <v>64</v>
      </c>
      <c r="C14" s="4" t="s">
        <v>68</v>
      </c>
      <c r="D14" s="4" t="s">
        <v>69</v>
      </c>
      <c r="E14" s="2" t="s">
        <v>32</v>
      </c>
      <c r="F14" s="2" t="s">
        <v>23</v>
      </c>
      <c r="G14" s="2" t="n">
        <v>4</v>
      </c>
      <c r="H14" s="2" t="n">
        <v>4</v>
      </c>
      <c r="I14" s="2" t="n">
        <f aca="false">H14-G14+1</f>
        <v>1</v>
      </c>
      <c r="J14" s="2" t="s">
        <v>62</v>
      </c>
      <c r="K14" s="2"/>
      <c r="L14" s="2"/>
      <c r="M14" s="2"/>
      <c r="N14" s="2"/>
      <c r="O14" s="2"/>
      <c r="P14" s="2"/>
      <c r="Q14" s="2"/>
      <c r="R14" s="2"/>
    </row>
    <row r="15" customFormat="false" ht="30" hidden="false" customHeight="true" outlineLevel="0" collapsed="false">
      <c r="A15" s="5" t="s">
        <v>70</v>
      </c>
      <c r="B15" s="6" t="s">
        <v>71</v>
      </c>
      <c r="C15" s="7" t="s">
        <v>72</v>
      </c>
      <c r="D15" s="7" t="s">
        <v>73</v>
      </c>
      <c r="E15" s="5" t="s">
        <v>22</v>
      </c>
      <c r="F15" s="5" t="s">
        <v>23</v>
      </c>
      <c r="G15" s="5" t="n">
        <v>3</v>
      </c>
      <c r="H15" s="5" t="n">
        <v>4</v>
      </c>
      <c r="I15" s="5" t="n">
        <f aca="false">H15-G15+1</f>
        <v>2</v>
      </c>
      <c r="J15" s="5" t="s">
        <v>44</v>
      </c>
      <c r="K15" s="2"/>
      <c r="L15" s="2"/>
      <c r="M15" s="2"/>
      <c r="N15" s="2"/>
      <c r="O15" s="2"/>
      <c r="P15" s="2"/>
      <c r="Q15" s="2"/>
      <c r="R15" s="2"/>
    </row>
    <row r="16" customFormat="false" ht="30" hidden="false" customHeight="true" outlineLevel="0" collapsed="false">
      <c r="A16" s="2" t="s">
        <v>74</v>
      </c>
      <c r="B16" s="3" t="s">
        <v>71</v>
      </c>
      <c r="C16" s="4" t="s">
        <v>75</v>
      </c>
      <c r="D16" s="4" t="s">
        <v>73</v>
      </c>
      <c r="E16" s="2" t="s">
        <v>22</v>
      </c>
      <c r="F16" s="2" t="s">
        <v>23</v>
      </c>
      <c r="G16" s="2" t="n">
        <v>3</v>
      </c>
      <c r="H16" s="2" t="n">
        <v>4</v>
      </c>
      <c r="I16" s="2" t="n">
        <f aca="false">H16-G16+1</f>
        <v>2</v>
      </c>
      <c r="J16" s="2" t="s">
        <v>44</v>
      </c>
      <c r="K16" s="2"/>
      <c r="L16" s="2"/>
      <c r="M16" s="2"/>
      <c r="N16" s="2"/>
      <c r="O16" s="2"/>
      <c r="P16" s="2"/>
      <c r="Q16" s="2"/>
      <c r="R16" s="2"/>
    </row>
    <row r="17" customFormat="false" ht="30" hidden="false" customHeight="true" outlineLevel="0" collapsed="false">
      <c r="A17" s="5" t="s">
        <v>76</v>
      </c>
      <c r="B17" s="6" t="s">
        <v>71</v>
      </c>
      <c r="C17" s="7" t="s">
        <v>77</v>
      </c>
      <c r="D17" s="7" t="s">
        <v>78</v>
      </c>
      <c r="E17" s="5" t="s">
        <v>22</v>
      </c>
      <c r="F17" s="5" t="s">
        <v>79</v>
      </c>
      <c r="G17" s="5" t="n">
        <v>5</v>
      </c>
      <c r="H17" s="5" t="n">
        <v>5</v>
      </c>
      <c r="I17" s="5" t="n">
        <f aca="false">H17-G17+1</f>
        <v>1</v>
      </c>
      <c r="J17" s="5" t="s">
        <v>62</v>
      </c>
      <c r="K17" s="2"/>
      <c r="L17" s="2"/>
      <c r="M17" s="2"/>
      <c r="N17" s="2"/>
      <c r="O17" s="2"/>
      <c r="P17" s="2"/>
      <c r="Q17" s="2"/>
      <c r="R17" s="2"/>
    </row>
    <row r="18" customFormat="false" ht="30" hidden="false" customHeight="true" outlineLevel="0" collapsed="false">
      <c r="A18" s="2" t="s">
        <v>80</v>
      </c>
      <c r="B18" s="3" t="s">
        <v>81</v>
      </c>
      <c r="C18" s="4" t="s">
        <v>82</v>
      </c>
      <c r="D18" s="4" t="s">
        <v>83</v>
      </c>
      <c r="E18" s="2" t="s">
        <v>22</v>
      </c>
      <c r="F18" s="2" t="s">
        <v>23</v>
      </c>
      <c r="G18" s="2" t="n">
        <v>4</v>
      </c>
      <c r="H18" s="2" t="n">
        <v>5</v>
      </c>
      <c r="I18" s="2" t="n">
        <f aca="false">H18-G18+1</f>
        <v>2</v>
      </c>
      <c r="J18" s="2" t="s">
        <v>44</v>
      </c>
      <c r="K18" s="2"/>
      <c r="L18" s="2"/>
      <c r="M18" s="2"/>
      <c r="N18" s="2"/>
      <c r="O18" s="2"/>
      <c r="P18" s="2"/>
      <c r="Q18" s="2"/>
      <c r="R18" s="2"/>
    </row>
    <row r="19" customFormat="false" ht="30" hidden="false" customHeight="true" outlineLevel="0" collapsed="false">
      <c r="A19" s="5" t="s">
        <v>84</v>
      </c>
      <c r="B19" s="6" t="s">
        <v>81</v>
      </c>
      <c r="C19" s="7" t="s">
        <v>85</v>
      </c>
      <c r="D19" s="7" t="s">
        <v>86</v>
      </c>
      <c r="E19" s="5" t="s">
        <v>22</v>
      </c>
      <c r="F19" s="5" t="s">
        <v>23</v>
      </c>
      <c r="G19" s="5" t="n">
        <v>4</v>
      </c>
      <c r="H19" s="5" t="n">
        <v>5</v>
      </c>
      <c r="I19" s="5" t="n">
        <f aca="false">H19-G19+1</f>
        <v>2</v>
      </c>
      <c r="J19" s="5" t="s">
        <v>62</v>
      </c>
      <c r="K19" s="2"/>
      <c r="L19" s="2"/>
      <c r="M19" s="2"/>
      <c r="N19" s="2"/>
      <c r="O19" s="2"/>
      <c r="P19" s="2"/>
      <c r="Q19" s="2"/>
      <c r="R19" s="2"/>
    </row>
    <row r="20" customFormat="false" ht="30" hidden="false" customHeight="true" outlineLevel="0" collapsed="false">
      <c r="A20" s="2" t="s">
        <v>87</v>
      </c>
      <c r="B20" s="3" t="s">
        <v>88</v>
      </c>
      <c r="C20" s="4" t="s">
        <v>89</v>
      </c>
      <c r="D20" s="4" t="s">
        <v>90</v>
      </c>
      <c r="E20" s="2" t="s">
        <v>32</v>
      </c>
      <c r="F20" s="2" t="s">
        <v>23</v>
      </c>
      <c r="G20" s="2" t="n">
        <v>4</v>
      </c>
      <c r="H20" s="2" t="n">
        <v>5</v>
      </c>
      <c r="I20" s="2" t="n">
        <f aca="false">H20-G20+1</f>
        <v>2</v>
      </c>
      <c r="J20" s="2" t="s">
        <v>62</v>
      </c>
      <c r="K20" s="2"/>
      <c r="L20" s="2"/>
      <c r="M20" s="2"/>
      <c r="N20" s="2"/>
      <c r="O20" s="2"/>
      <c r="P20" s="2"/>
      <c r="Q20" s="2"/>
      <c r="R20" s="2"/>
    </row>
    <row r="21" customFormat="false" ht="30" hidden="false" customHeight="true" outlineLevel="0" collapsed="false">
      <c r="A21" s="5" t="s">
        <v>91</v>
      </c>
      <c r="B21" s="6" t="s">
        <v>88</v>
      </c>
      <c r="C21" s="7" t="s">
        <v>92</v>
      </c>
      <c r="D21" s="7" t="s">
        <v>93</v>
      </c>
      <c r="E21" s="5" t="s">
        <v>32</v>
      </c>
      <c r="F21" s="5" t="s">
        <v>23</v>
      </c>
      <c r="G21" s="5" t="n">
        <v>4</v>
      </c>
      <c r="H21" s="5" t="n">
        <v>5</v>
      </c>
      <c r="I21" s="5" t="n">
        <f aca="false">H21-G21+1</f>
        <v>2</v>
      </c>
      <c r="J21" s="5" t="s">
        <v>62</v>
      </c>
      <c r="K21" s="2"/>
      <c r="L21" s="2"/>
      <c r="M21" s="2"/>
      <c r="N21" s="2"/>
      <c r="O21" s="2"/>
      <c r="P21" s="2"/>
      <c r="Q21" s="2"/>
      <c r="R21" s="2"/>
    </row>
    <row r="22" customFormat="false" ht="30" hidden="false" customHeight="true" outlineLevel="0" collapsed="false">
      <c r="A22" s="2" t="s">
        <v>94</v>
      </c>
      <c r="B22" s="3" t="s">
        <v>95</v>
      </c>
      <c r="C22" s="4" t="s">
        <v>96</v>
      </c>
      <c r="D22" s="4" t="s">
        <v>97</v>
      </c>
      <c r="E22" s="2" t="s">
        <v>22</v>
      </c>
      <c r="F22" s="2" t="s">
        <v>23</v>
      </c>
      <c r="G22" s="2" t="n">
        <v>5</v>
      </c>
      <c r="H22" s="2" t="n">
        <v>6</v>
      </c>
      <c r="I22" s="2" t="n">
        <f aca="false">H22-G22+1</f>
        <v>2</v>
      </c>
      <c r="J22" s="2" t="s">
        <v>62</v>
      </c>
      <c r="K22" s="2"/>
      <c r="L22" s="2"/>
      <c r="M22" s="2"/>
      <c r="N22" s="2"/>
      <c r="O22" s="2"/>
      <c r="P22" s="2"/>
      <c r="Q22" s="2"/>
      <c r="R22" s="2"/>
    </row>
    <row r="23" customFormat="false" ht="30" hidden="false" customHeight="true" outlineLevel="0" collapsed="false">
      <c r="A23" s="5" t="s">
        <v>98</v>
      </c>
      <c r="B23" s="6" t="s">
        <v>95</v>
      </c>
      <c r="C23" s="7" t="s">
        <v>99</v>
      </c>
      <c r="D23" s="7" t="s">
        <v>97</v>
      </c>
      <c r="E23" s="5" t="s">
        <v>22</v>
      </c>
      <c r="F23" s="5" t="s">
        <v>23</v>
      </c>
      <c r="G23" s="5" t="n">
        <v>5</v>
      </c>
      <c r="H23" s="5" t="n">
        <v>6</v>
      </c>
      <c r="I23" s="5" t="n">
        <f aca="false">H23-G23+1</f>
        <v>2</v>
      </c>
      <c r="J23" s="5" t="s">
        <v>62</v>
      </c>
      <c r="K23" s="2"/>
      <c r="L23" s="2"/>
      <c r="M23" s="2"/>
      <c r="N23" s="2"/>
      <c r="O23" s="2"/>
      <c r="P23" s="2"/>
      <c r="Q23" s="2"/>
      <c r="R23" s="2"/>
    </row>
    <row r="24" customFormat="false" ht="30" hidden="false" customHeight="true" outlineLevel="0" collapsed="false">
      <c r="A24" s="2" t="s">
        <v>100</v>
      </c>
      <c r="B24" s="3" t="s">
        <v>101</v>
      </c>
      <c r="C24" s="4" t="s">
        <v>102</v>
      </c>
      <c r="D24" s="4" t="s">
        <v>103</v>
      </c>
      <c r="E24" s="2" t="s">
        <v>39</v>
      </c>
      <c r="F24" s="2" t="s">
        <v>23</v>
      </c>
      <c r="G24" s="2" t="n">
        <v>5</v>
      </c>
      <c r="H24" s="2" t="n">
        <v>6</v>
      </c>
      <c r="I24" s="2" t="n">
        <f aca="false">H24-G24+1</f>
        <v>2</v>
      </c>
      <c r="J24" s="2" t="s">
        <v>62</v>
      </c>
      <c r="K24" s="2"/>
      <c r="L24" s="2"/>
      <c r="M24" s="2"/>
      <c r="N24" s="2"/>
      <c r="O24" s="2"/>
      <c r="P24" s="2"/>
      <c r="Q24" s="2"/>
      <c r="R24" s="2"/>
    </row>
    <row r="25" customFormat="false" ht="30" hidden="false" customHeight="true" outlineLevel="0" collapsed="false">
      <c r="A25" s="5" t="s">
        <v>104</v>
      </c>
      <c r="B25" s="6" t="s">
        <v>101</v>
      </c>
      <c r="C25" s="7" t="s">
        <v>105</v>
      </c>
      <c r="D25" s="7" t="s">
        <v>106</v>
      </c>
      <c r="E25" s="5" t="s">
        <v>32</v>
      </c>
      <c r="F25" s="5" t="s">
        <v>23</v>
      </c>
      <c r="G25" s="5" t="n">
        <v>5</v>
      </c>
      <c r="H25" s="5" t="n">
        <v>6</v>
      </c>
      <c r="I25" s="5" t="n">
        <f aca="false">H25-G25+1</f>
        <v>2</v>
      </c>
      <c r="J25" s="5" t="s">
        <v>62</v>
      </c>
      <c r="K25" s="2"/>
      <c r="L25" s="2"/>
      <c r="M25" s="2"/>
      <c r="N25" s="2"/>
      <c r="O25" s="2"/>
      <c r="P25" s="2"/>
      <c r="Q25" s="2"/>
      <c r="R25" s="2"/>
    </row>
    <row r="26" customFormat="false" ht="30" hidden="false" customHeight="true" outlineLevel="0" collapsed="false">
      <c r="A26" s="2" t="s">
        <v>107</v>
      </c>
      <c r="B26" s="3" t="s">
        <v>9</v>
      </c>
      <c r="C26" s="4" t="s">
        <v>108</v>
      </c>
      <c r="D26" s="4" t="s">
        <v>109</v>
      </c>
      <c r="E26" s="2" t="s">
        <v>32</v>
      </c>
      <c r="F26" s="2" t="s">
        <v>23</v>
      </c>
      <c r="G26" s="2" t="n">
        <v>6</v>
      </c>
      <c r="H26" s="2" t="n">
        <v>6</v>
      </c>
      <c r="I26" s="2" t="n">
        <f aca="false">H26-G26+1</f>
        <v>1</v>
      </c>
      <c r="J26" s="2" t="s">
        <v>62</v>
      </c>
      <c r="K26" s="2"/>
      <c r="L26" s="2"/>
      <c r="M26" s="2"/>
      <c r="N26" s="2"/>
      <c r="O26" s="2"/>
      <c r="P26" s="2"/>
      <c r="Q26" s="2"/>
      <c r="R26" s="2"/>
    </row>
    <row r="27" customFormat="false" ht="30" hidden="false" customHeight="true" outlineLevel="0" collapsed="false">
      <c r="A27" s="5" t="s">
        <v>110</v>
      </c>
      <c r="B27" s="6" t="s">
        <v>111</v>
      </c>
      <c r="C27" s="7" t="s">
        <v>112</v>
      </c>
      <c r="D27" s="7" t="s">
        <v>113</v>
      </c>
      <c r="E27" s="5" t="s">
        <v>39</v>
      </c>
      <c r="F27" s="5" t="s">
        <v>23</v>
      </c>
      <c r="G27" s="5" t="n">
        <v>6</v>
      </c>
      <c r="H27" s="5" t="n">
        <v>7</v>
      </c>
      <c r="I27" s="5" t="n">
        <f aca="false">H27-G27+1</f>
        <v>2</v>
      </c>
      <c r="J27" s="5" t="s">
        <v>62</v>
      </c>
      <c r="K27" s="2"/>
      <c r="L27" s="2"/>
      <c r="M27" s="2"/>
      <c r="N27" s="2"/>
      <c r="O27" s="2"/>
      <c r="P27" s="2"/>
      <c r="Q27" s="2"/>
      <c r="R27" s="2"/>
    </row>
    <row r="28" customFormat="false" ht="30" hidden="false" customHeight="true" outlineLevel="0" collapsed="false">
      <c r="A28" s="2" t="s">
        <v>114</v>
      </c>
      <c r="B28" s="3" t="s">
        <v>111</v>
      </c>
      <c r="C28" s="4" t="s">
        <v>115</v>
      </c>
      <c r="D28" s="4" t="s">
        <v>116</v>
      </c>
      <c r="E28" s="2" t="s">
        <v>39</v>
      </c>
      <c r="F28" s="2" t="s">
        <v>23</v>
      </c>
      <c r="G28" s="2" t="n">
        <v>6</v>
      </c>
      <c r="H28" s="2" t="n">
        <v>7</v>
      </c>
      <c r="I28" s="2" t="n">
        <f aca="false">H28-G28+1</f>
        <v>2</v>
      </c>
      <c r="J28" s="2" t="s">
        <v>62</v>
      </c>
      <c r="K28" s="2"/>
      <c r="L28" s="2"/>
      <c r="M28" s="2"/>
      <c r="N28" s="2"/>
      <c r="O28" s="2"/>
      <c r="P28" s="2"/>
      <c r="Q28" s="2"/>
      <c r="R28" s="2"/>
    </row>
    <row r="29" customFormat="false" ht="30" hidden="false" customHeight="true" outlineLevel="0" collapsed="false">
      <c r="A29" s="5" t="s">
        <v>117</v>
      </c>
      <c r="B29" s="6" t="s">
        <v>111</v>
      </c>
      <c r="C29" s="7" t="s">
        <v>118</v>
      </c>
      <c r="D29" s="7" t="s">
        <v>119</v>
      </c>
      <c r="E29" s="5" t="s">
        <v>32</v>
      </c>
      <c r="F29" s="5" t="s">
        <v>23</v>
      </c>
      <c r="G29" s="5" t="n">
        <v>7</v>
      </c>
      <c r="H29" s="5" t="n">
        <v>7</v>
      </c>
      <c r="I29" s="5" t="n">
        <f aca="false">H29-G29+1</f>
        <v>1</v>
      </c>
      <c r="J29" s="5" t="s">
        <v>62</v>
      </c>
      <c r="K29" s="2"/>
      <c r="L29" s="2"/>
      <c r="M29" s="2"/>
      <c r="N29" s="2"/>
      <c r="O29" s="2"/>
      <c r="P29" s="2"/>
      <c r="Q29" s="2"/>
      <c r="R29" s="2"/>
    </row>
    <row r="30" customFormat="false" ht="30" hidden="false" customHeight="true" outlineLevel="0" collapsed="false">
      <c r="A30" s="2" t="s">
        <v>120</v>
      </c>
      <c r="B30" s="3" t="s">
        <v>121</v>
      </c>
      <c r="C30" s="4" t="s">
        <v>122</v>
      </c>
      <c r="D30" s="4" t="s">
        <v>123</v>
      </c>
      <c r="E30" s="2" t="s">
        <v>22</v>
      </c>
      <c r="F30" s="2" t="s">
        <v>124</v>
      </c>
      <c r="G30" s="2" t="n">
        <v>7</v>
      </c>
      <c r="H30" s="2" t="n">
        <v>8</v>
      </c>
      <c r="I30" s="2" t="n">
        <f aca="false">H30-G30+1</f>
        <v>2</v>
      </c>
      <c r="J30" s="2" t="s">
        <v>62</v>
      </c>
      <c r="K30" s="2"/>
      <c r="L30" s="2"/>
      <c r="M30" s="2"/>
      <c r="N30" s="2"/>
      <c r="O30" s="2"/>
      <c r="P30" s="2"/>
      <c r="Q30" s="2"/>
      <c r="R30" s="2"/>
    </row>
    <row r="31" customFormat="false" ht="30" hidden="false" customHeight="true" outlineLevel="0" collapsed="false">
      <c r="A31" s="5" t="s">
        <v>125</v>
      </c>
      <c r="B31" s="6" t="s">
        <v>126</v>
      </c>
      <c r="C31" s="7" t="s">
        <v>127</v>
      </c>
      <c r="D31" s="7" t="s">
        <v>128</v>
      </c>
      <c r="E31" s="5" t="s">
        <v>39</v>
      </c>
      <c r="F31" s="5" t="s">
        <v>23</v>
      </c>
      <c r="G31" s="5" t="n">
        <v>7</v>
      </c>
      <c r="H31" s="5" t="n">
        <v>7</v>
      </c>
      <c r="I31" s="5" t="n">
        <f aca="false">H31-G31+1</f>
        <v>1</v>
      </c>
      <c r="J31" s="5" t="s">
        <v>62</v>
      </c>
      <c r="K31" s="2"/>
      <c r="L31" s="2"/>
      <c r="M31" s="2"/>
      <c r="N31" s="2"/>
      <c r="O31" s="2"/>
      <c r="P31" s="2"/>
      <c r="Q31" s="2"/>
      <c r="R31" s="2"/>
    </row>
    <row r="32" customFormat="false" ht="30" hidden="false" customHeight="true" outlineLevel="0" collapsed="false">
      <c r="A32" s="2" t="s">
        <v>129</v>
      </c>
      <c r="B32" s="3" t="s">
        <v>126</v>
      </c>
      <c r="C32" s="4" t="s">
        <v>130</v>
      </c>
      <c r="D32" s="4" t="s">
        <v>131</v>
      </c>
      <c r="E32" s="2" t="s">
        <v>22</v>
      </c>
      <c r="F32" s="2" t="s">
        <v>23</v>
      </c>
      <c r="G32" s="2" t="n">
        <v>7</v>
      </c>
      <c r="H32" s="2" t="n">
        <v>8</v>
      </c>
      <c r="I32" s="2" t="n">
        <f aca="false">H32-G32+1</f>
        <v>2</v>
      </c>
      <c r="J32" s="2" t="s">
        <v>62</v>
      </c>
      <c r="K32" s="2"/>
      <c r="L32" s="2"/>
      <c r="M32" s="2"/>
      <c r="N32" s="2"/>
      <c r="O32" s="2"/>
      <c r="P32" s="2"/>
      <c r="Q32" s="2"/>
      <c r="R32" s="2"/>
    </row>
    <row r="33" customFormat="false" ht="30" hidden="false" customHeight="true" outlineLevel="0" collapsed="false">
      <c r="A33" s="5" t="s">
        <v>132</v>
      </c>
      <c r="B33" s="6" t="s">
        <v>133</v>
      </c>
      <c r="C33" s="7" t="s">
        <v>134</v>
      </c>
      <c r="D33" s="7" t="s">
        <v>135</v>
      </c>
      <c r="E33" s="5" t="s">
        <v>39</v>
      </c>
      <c r="F33" s="5" t="s">
        <v>23</v>
      </c>
      <c r="G33" s="5" t="n">
        <v>8</v>
      </c>
      <c r="H33" s="5" t="n">
        <v>8</v>
      </c>
      <c r="I33" s="5" t="n">
        <f aca="false">H33-G33+1</f>
        <v>1</v>
      </c>
      <c r="J33" s="5" t="s">
        <v>62</v>
      </c>
      <c r="K33" s="2"/>
      <c r="L33" s="2"/>
      <c r="M33" s="2"/>
      <c r="N33" s="2"/>
      <c r="O33" s="2"/>
      <c r="P33" s="2"/>
      <c r="Q33" s="2"/>
      <c r="R33" s="2"/>
    </row>
    <row r="34" customFormat="false" ht="30" hidden="false" customHeight="true" outlineLevel="0" collapsed="false">
      <c r="A34" s="2" t="s">
        <v>136</v>
      </c>
      <c r="B34" s="3" t="s">
        <v>137</v>
      </c>
      <c r="C34" s="4" t="s">
        <v>138</v>
      </c>
      <c r="D34" s="4" t="s">
        <v>43</v>
      </c>
      <c r="E34" s="2" t="s">
        <v>32</v>
      </c>
      <c r="F34" s="2" t="s">
        <v>23</v>
      </c>
      <c r="G34" s="2" t="n">
        <v>8</v>
      </c>
      <c r="H34" s="2" t="n">
        <v>8</v>
      </c>
      <c r="I34" s="2" t="n">
        <f aca="false">H34-G34+1</f>
        <v>1</v>
      </c>
      <c r="J34" s="2" t="s">
        <v>62</v>
      </c>
      <c r="K34" s="2"/>
      <c r="L34" s="2"/>
      <c r="M34" s="2"/>
      <c r="N34" s="2"/>
      <c r="O34" s="2"/>
      <c r="P34" s="2"/>
      <c r="Q34" s="2"/>
      <c r="R34" s="2"/>
    </row>
    <row r="35" customFormat="false" ht="30" hidden="false" customHeight="true" outlineLevel="0" collapsed="false">
      <c r="A35" s="5" t="s">
        <v>139</v>
      </c>
      <c r="B35" s="6" t="s">
        <v>137</v>
      </c>
      <c r="C35" s="7" t="s">
        <v>140</v>
      </c>
      <c r="D35" s="7" t="s">
        <v>141</v>
      </c>
      <c r="E35" s="5" t="s">
        <v>22</v>
      </c>
      <c r="F35" s="5" t="s">
        <v>23</v>
      </c>
      <c r="G35" s="5" t="n">
        <v>8</v>
      </c>
      <c r="H35" s="5" t="n">
        <v>8</v>
      </c>
      <c r="I35" s="5" t="n">
        <f aca="false">H35-G35+1</f>
        <v>1</v>
      </c>
      <c r="J35" s="5" t="s">
        <v>62</v>
      </c>
      <c r="K35" s="2"/>
      <c r="L35" s="2"/>
      <c r="M35" s="2"/>
      <c r="N35" s="2"/>
      <c r="O35" s="2"/>
      <c r="P35" s="2"/>
      <c r="Q35" s="2"/>
      <c r="R35" s="2"/>
    </row>
  </sheetData>
  <autoFilter ref="A1:R35"/>
  <conditionalFormatting sqref="K2:R35">
    <cfRule type="expression" priority="2" aboveAverage="0" equalAverage="0" bottom="0" percent="0" rank="0" text="" dxfId="8">
      <formula>AND(COLUMN()-10&gt;=$G2,COLUMN()-10&lt;=$H2,$J2="Done")</formula>
    </cfRule>
    <cfRule type="expression" priority="3" aboveAverage="0" equalAverage="0" bottom="0" percent="0" rank="0" text="" dxfId="9">
      <formula>AND(COLUMN()-10&gt;=$G2,COLUMN()-10&lt;=$H2,$F2="Could")</formula>
    </cfRule>
    <cfRule type="expression" priority="4" aboveAverage="0" equalAverage="0" bottom="0" percent="0" rank="0" text="" dxfId="10">
      <formula>AND(COLUMN()-10&gt;=$G2,COLUMN()-10&lt;=$H2)</formula>
    </cfRule>
  </conditionalFormatting>
  <conditionalFormatting sqref="J2:J35">
    <cfRule type="expression" priority="5" aboveAverage="0" equalAverage="0" bottom="0" percent="0" rank="0" text="" dxfId="11">
      <formula>$J2="Done"</formula>
    </cfRule>
    <cfRule type="expression" priority="6" aboveAverage="0" equalAverage="0" bottom="0" percent="0" rank="0" text="" dxfId="12">
      <formula>$J2="In progress"</formula>
    </cfRule>
  </conditionalFormatting>
  <dataValidations count="3">
    <dataValidation allowBlank="false" errorStyle="stop" operator="between" showDropDown="false" showErrorMessage="false" showInputMessage="false" sqref="J2:J35" type="list">
      <formula1>"Not started,In progress,Done"</formula1>
      <formula2>0</formula2>
    </dataValidation>
    <dataValidation allowBlank="false" errorStyle="stop" operator="between" showDropDown="false" showErrorMessage="false" showInputMessage="false" sqref="F2:F35" type="list">
      <formula1>"Must,Should,Could"</formula1>
      <formula2>0</formula2>
    </dataValidation>
    <dataValidation allowBlank="false" errorStyle="stop" operator="between" showDropDown="false" showErrorMessage="false" showInputMessage="false" sqref="E2:E35" type="list">
      <formula1>"Hiếu,Hải,Thiện"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2026-10-08T18:24:15Z</dcterms:created>
  <dc:creator>openpyxl</dc:creator>
  <dc:description/>
  <dc:language>en-US</dc:language>
  <cp:lastModifiedBy/>
  <dcterms:modified xsi:type="dcterms:W3CDTF">2026-10-08T18:24:15Z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